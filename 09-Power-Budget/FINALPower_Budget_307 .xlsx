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ola\Downloads\"/>
    </mc:Choice>
  </mc:AlternateContent>
  <xr:revisionPtr revIDLastSave="0" documentId="8_{2C3B7F07-7DE7-4B54-AE9A-84141CA1C0F0}" xr6:coauthVersionLast="47" xr6:coauthVersionMax="47" xr10:uidLastSave="{00000000-0000-0000-0000-000000000000}"/>
  <bookViews>
    <workbookView xWindow="-108" yWindow="-108" windowWidth="23256" windowHeight="13896" xr2:uid="{00000000-000D-0000-FFFF-FFFF00000000}"/>
  </bookViews>
  <sheets>
    <sheet name="Power Budg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1" l="1"/>
  <c r="G37" i="1"/>
  <c r="G32" i="1"/>
  <c r="G31" i="1"/>
  <c r="G30" i="1"/>
  <c r="G29" i="1"/>
  <c r="G26" i="1"/>
  <c r="G22" i="1"/>
  <c r="G24" i="1" s="1"/>
  <c r="G10" i="1"/>
  <c r="G9" i="1"/>
  <c r="G8" i="1"/>
  <c r="G33" i="1" l="1"/>
  <c r="G35" i="1" s="1"/>
  <c r="F45" i="1" s="1"/>
  <c r="G45" i="1" s="1"/>
  <c r="G27" i="1"/>
  <c r="G48" i="1" l="1"/>
  <c r="G38" i="1"/>
</calcChain>
</file>

<file path=xl/sharedStrings.xml><?xml version="1.0" encoding="utf-8"?>
<sst xmlns="http://schemas.openxmlformats.org/spreadsheetml/2006/main" count="139" uniqueCount="68">
  <si>
    <t>Power Budget Example</t>
  </si>
  <si>
    <t>Team Number:</t>
  </si>
  <si>
    <t>Team 307</t>
  </si>
  <si>
    <t>Project Name:</t>
  </si>
  <si>
    <t>Submersible Exploration Device</t>
  </si>
  <si>
    <t>Team Member Names:</t>
  </si>
  <si>
    <t>Abriana Poola</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</si>
  <si>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</si>
  <si>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</si>
  <si>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</si>
  <si>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</si>
  <si>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</si>
  <si>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</si>
  <si>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</si>
  <si>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</si>
  <si>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</si>
  <si>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ESP32-S3-WROOM-1</t>
  </si>
  <si>
    <t>3.0V - 3.6V</t>
  </si>
  <si>
    <t>mA</t>
  </si>
  <si>
    <t>3.3V</t>
  </si>
  <si>
    <t>Generic LED</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</si>
  <si>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</si>
  <si>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</si>
  <si>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</si>
  <si>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</si>
  <si>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</si>
  <si>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</si>
  <si>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Direct +12V input from wall adapter</t>
  </si>
  <si>
    <t>Barrel jack J3</t>
  </si>
  <si>
    <t>12V nominal</t>
  </si>
  <si>
    <t>Total Remaining Current Available on +12V Rail</t>
  </si>
  <si>
    <t>c2. Regulator or Source Choice</t>
  </si>
  <si>
    <t>N/A</t>
  </si>
  <si>
    <t xml:space="preserve"> +3.3V Power Rail</t>
  </si>
  <si>
    <t>Total Current Required on +3.3V Rail</t>
  </si>
  <si>
    <t>+3.3V buck regulator</t>
  </si>
  <si>
    <t>LM2576HVS-3.3</t>
  </si>
  <si>
    <t>4V - 60V input</t>
  </si>
  <si>
    <t>Total Remaining Current Available on 3.3V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</si>
  <si>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</si>
  <si>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</si>
  <si>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</si>
  <si>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</si>
  <si>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12V wall adapter</t>
  </si>
  <si>
    <t>AC input</t>
  </si>
  <si>
    <t>12V</t>
  </si>
  <si>
    <t>Power Rails Connected to External Power Source 1</t>
  </si>
  <si>
    <t>from 12V source</t>
  </si>
  <si>
    <t>Total Remaining Current Available on External Power Source 1</t>
  </si>
  <si>
    <t>External Power Source 2</t>
  </si>
  <si>
    <t>Power Source 2 Selection</t>
  </si>
  <si>
    <t>Not used</t>
  </si>
  <si>
    <t>Power Rails Connected to External Power Source 2</t>
  </si>
  <si>
    <t>Total Remaining Current Available on External Power Source 2</t>
  </si>
  <si>
    <t>Battery Life</t>
  </si>
  <si>
    <t>hours</t>
  </si>
  <si>
    <t>Notes / Assumptions</t>
  </si>
  <si>
    <t>ESP32 budget uses 500 mA peak design current so the 3.3 V rail can handle Wi-Fi startup/current spikes.</t>
  </si>
  <si>
    <t>OLED current estimated at 25 mA because the schematic does not include the OLED module part number.</t>
  </si>
  <si>
    <t>LED current assumes 220Ω series resistors and ~2.0V LED forward drop: (3.3V - 2.0V)/220Ω ≈ 5.9mA each.</t>
  </si>
  <si>
    <t>External 12V source current is estimated from 3.3V rail load using 80% buck efficiency.</t>
  </si>
  <si>
    <t xml:space="preserve">	B085WCRS7C</t>
  </si>
  <si>
    <t>OLED display module</t>
  </si>
  <si>
    <t xml:space="preserve">OLED display module </t>
  </si>
  <si>
    <t>B0D269PYK9</t>
  </si>
  <si>
    <t>LED 1</t>
  </si>
  <si>
    <t>3.3 Regulator</t>
  </si>
  <si>
    <t>LM2575D2T-3.3R4G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</si>
</sst>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amily val="2"/>
    </font>
    <font>
      <b/>
      <sz val="12"/>
      <color rgb="FF000000"/>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6">
    <xf numFmtId="0" fontId="0" fillId="0" borderId="0" xfId="0"/>
    <xf numFmtId="0" fontId="2" fillId="0" borderId="1" xfId="0" applyFont="1" applyBorder="1"/>
    <xf numFmtId="0" fontId="2" fillId="0" borderId="0" xfId="0" applyFont="1" applyAlignment="1">
      <alignment horizontal="center"/>
    </xf>
    <xf numFmtId="0" fontId="3" fillId="0" borderId="1" xfId="0" applyFont="1" applyBorder="1"/>
    <xf numFmtId="0" fontId="2" fillId="0" borderId="0" xfId="0" applyFont="1"/>
    <xf numFmtId="0" fontId="3" fillId="0" borderId="0" xfId="0" applyFont="1"/>
    <xf numFmtId="0" fontId="3" fillId="3" borderId="2" xfId="0" applyFont="1" applyFill="1" applyBorder="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49" fontId="5" fillId="0" borderId="0" xfId="0" applyNumberFormat="1" applyFont="1" applyAlignment="1">
      <alignment horizontal="center"/>
    </xf>
    <xf numFmtId="0" fontId="2" fillId="0" borderId="8" xfId="0" applyFont="1" applyBorder="1"/>
    <xf numFmtId="0" fontId="3" fillId="0" borderId="0" xfId="0" applyFont="1" applyAlignment="1">
      <alignment horizontal="center"/>
    </xf>
    <xf numFmtId="0" fontId="2" fillId="0" borderId="9" xfId="0" applyFont="1" applyBorder="1"/>
    <xf numFmtId="0" fontId="4" fillId="3" borderId="10" xfId="0" applyFont="1" applyFill="1" applyBorder="1"/>
    <xf numFmtId="0" fontId="6" fillId="0" borderId="0" xfId="0" applyFont="1" applyAlignment="1">
      <alignment horizontal="right"/>
    </xf>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0" xfId="0" applyFont="1"/>
    <xf numFmtId="0" fontId="0" fillId="0" borderId="9" xfId="0" applyBorder="1" applyAlignment="1">
      <alignment horizontal="center"/>
    </xf>
    <xf numFmtId="0" fontId="0" fillId="2" borderId="0" xfId="0" applyFill="1"/>
    <xf numFmtId="0" fontId="9" fillId="0" borderId="1" xfId="0" applyFont="1" applyBorder="1"/>
    <xf numFmtId="0" fontId="5" fillId="0" borderId="8" xfId="0" applyFont="1" applyBorder="1"/>
    <xf numFmtId="9" fontId="5" fillId="0" borderId="9" xfId="0" applyNumberFormat="1" applyFont="1" applyBorder="1"/>
    <xf numFmtId="0" fontId="8" fillId="4" borderId="0" xfId="0" applyFont="1" applyFill="1" applyAlignment="1">
      <alignment horizontal="left" wrapText="1"/>
    </xf>
    <xf numFmtId="0" fontId="0" fillId="0" borderId="0" xfId="0"/>
    <xf numFmtId="0" fontId="6" fillId="0" borderId="0" xfId="0" applyFont="1" applyAlignment="1">
      <alignment horizontal="right"/>
    </xf>
    <xf numFmtId="49" fontId="4" fillId="0" borderId="0" xfId="0" applyNumberFormat="1" applyFont="1" applyAlignment="1">
      <alignment horizontal="right"/>
    </xf>
    <xf numFmtId="0" fontId="3" fillId="0" borderId="8" xfId="0" applyFont="1" applyBorder="1" applyAlignment="1">
      <alignment horizontal="left" vertical="center" wrapText="1"/>
    </xf>
    <xf numFmtId="0" fontId="0" fillId="0" borderId="8" xfId="0" applyBorder="1"/>
    <xf numFmtId="49" fontId="4" fillId="0" borderId="12" xfId="0" applyNumberFormat="1" applyFont="1" applyBorder="1" applyAlignment="1">
      <alignment horizontal="right"/>
    </xf>
    <xf numFmtId="0" fontId="0" fillId="0" borderId="12" xfId="0" applyBorder="1"/>
    <xf numFmtId="0" fontId="4" fillId="2" borderId="0" xfId="0" applyFont="1" applyFill="1"/>
    <xf numFmtId="0" fontId="1" fillId="0" borderId="0" xfId="0" applyFont="1" applyAlignment="1">
      <alignment horizontal="center"/>
    </xf>
    <xf numFmtId="0" fontId="5" fillId="0" borderId="0" xfId="0" applyFont="1" applyAlignment="1">
      <alignment wrapText="1"/>
    </xf>
    <xf numFmtId="0" fontId="4" fillId="2" borderId="1" xfId="0" applyFont="1" applyFill="1" applyBorder="1" applyAlignment="1">
      <alignment wrapText="1"/>
    </xf>
    <xf numFmtId="0" fontId="0" fillId="0" borderId="3" xfId="0" applyBorder="1"/>
    <xf numFmtId="0" fontId="0" fillId="0" borderId="4" xfId="0" applyBorder="1"/>
    <xf numFmtId="0" fontId="4" fillId="0" borderId="7" xfId="0" applyFont="1" applyBorder="1" applyAlignment="1">
      <alignment wrapText="1"/>
    </xf>
    <xf numFmtId="0" fontId="0" fillId="0" borderId="13" xfId="0" applyBorder="1"/>
    <xf numFmtId="0" fontId="4" fillId="0" borderId="0" xfId="0" applyFont="1"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63"/>
  <sheetViews>
    <sheetView tabSelected="1" workbookViewId="0">
      <selection activeCell="C51" sqref="C51"/>
    </sheetView>
  </sheetViews>
  <sheetFormatPr defaultColWidth="13.3984375" defaultRowHeight="15.75" customHeight="1" x14ac:dyDescent="0.3"/>
  <cols>
    <col min="1" max="1" width="26.09765625" customWidth="1"/>
    <col min="2" max="2" width="23.09765625" customWidth="1"/>
    <col min="3" max="3" width="13.3984375" customWidth="1"/>
    <col min="4" max="4" width="11.3984375" customWidth="1"/>
    <col min="5" max="5" width="6.8984375" customWidth="1"/>
    <col min="6" max="6" width="12.296875" customWidth="1"/>
    <col min="7" max="7" width="12.69921875" customWidth="1"/>
    <col min="8" max="8" width="9" customWidth="1"/>
  </cols>
  <sheetData>
    <row r="1" spans="1:8" ht="30" customHeight="1" x14ac:dyDescent="0.6">
      <c r="A1" s="58" t="s">
        <v>0</v>
      </c>
      <c r="B1" s="50"/>
      <c r="C1" s="50"/>
      <c r="D1" s="50"/>
      <c r="E1" s="50"/>
      <c r="F1" s="50"/>
      <c r="G1" s="50"/>
      <c r="H1" s="50"/>
    </row>
    <row r="2" spans="1:8" ht="15" customHeight="1" x14ac:dyDescent="0.3">
      <c r="A2" s="1" t="s">
        <v>1</v>
      </c>
      <c r="B2" s="46" t="s">
        <v>2</v>
      </c>
      <c r="D2" s="2"/>
      <c r="E2" s="2"/>
    </row>
    <row r="3" spans="1:8" ht="15" customHeight="1" x14ac:dyDescent="0.3">
      <c r="A3" s="3" t="s">
        <v>3</v>
      </c>
      <c r="B3" s="1" t="s">
        <v>4</v>
      </c>
      <c r="C3" s="4"/>
      <c r="D3" s="2"/>
      <c r="E3" s="2"/>
      <c r="F3" s="4"/>
      <c r="G3" s="4"/>
      <c r="H3" s="4"/>
    </row>
    <row r="4" spans="1:8" ht="15" customHeight="1" x14ac:dyDescent="0.3">
      <c r="A4" s="3" t="s">
        <v>5</v>
      </c>
      <c r="B4" s="1" t="s">
        <v>6</v>
      </c>
      <c r="C4" s="4"/>
      <c r="D4" s="2"/>
      <c r="E4" s="2"/>
      <c r="F4" s="4"/>
      <c r="G4" s="4"/>
      <c r="H4" s="4"/>
    </row>
    <row r="5" spans="1:8" ht="15" customHeight="1" x14ac:dyDescent="0.3">
      <c r="A5" s="5"/>
      <c r="B5" s="4"/>
      <c r="C5" s="4"/>
      <c r="D5" s="2"/>
      <c r="E5" s="2"/>
      <c r="F5" s="4"/>
      <c r="G5" s="4"/>
      <c r="H5" s="4"/>
    </row>
    <row r="6" spans="1:8" ht="15" customHeight="1" x14ac:dyDescent="0.3">
      <c r="A6" s="60" t="s">
        <v>7</v>
      </c>
      <c r="B6" s="61"/>
      <c r="C6" s="61"/>
      <c r="D6" s="61"/>
      <c r="E6" s="61"/>
      <c r="F6" s="61"/>
      <c r="G6" s="61"/>
      <c r="H6" s="62"/>
    </row>
    <row r="7" spans="1:8" ht="15" customHeight="1" x14ac:dyDescent="0.3">
      <c r="A7" s="6" t="s">
        <v>8</v>
      </c>
      <c r="B7" s="7" t="s">
        <v>9</v>
      </c>
      <c r="C7" s="7" t="s">
        <v>10</v>
      </c>
      <c r="D7" s="8" t="s">
        <v>11</v>
      </c>
      <c r="E7" s="8" t="s">
        <v>12</v>
      </c>
      <c r="F7" s="9" t="s">
        <v>13</v>
      </c>
      <c r="G7" s="10" t="s">
        <v>14</v>
      </c>
      <c r="H7" s="10" t="s">
        <v>15</v>
      </c>
    </row>
    <row r="8" spans="1:8" ht="15" customHeight="1" x14ac:dyDescent="0.3">
      <c r="A8" s="47"/>
      <c r="B8" s="16" t="s">
        <v>16</v>
      </c>
      <c r="C8" s="16" t="s">
        <v>16</v>
      </c>
      <c r="D8" s="12" t="s">
        <v>17</v>
      </c>
      <c r="E8" s="12">
        <v>1</v>
      </c>
      <c r="F8" s="16">
        <v>500</v>
      </c>
      <c r="G8" s="15">
        <f>E8*F8</f>
        <v>500</v>
      </c>
      <c r="H8" s="15" t="s">
        <v>18</v>
      </c>
    </row>
    <row r="9" spans="1:8" ht="15" customHeight="1" x14ac:dyDescent="0.3">
      <c r="A9" s="47"/>
      <c r="B9" s="16" t="s">
        <v>62</v>
      </c>
      <c r="C9" s="16" t="s">
        <v>61</v>
      </c>
      <c r="D9" s="12" t="s">
        <v>19</v>
      </c>
      <c r="E9" s="12">
        <v>1</v>
      </c>
      <c r="F9" s="16">
        <v>25</v>
      </c>
      <c r="G9" s="15">
        <f>E9*F9</f>
        <v>25</v>
      </c>
      <c r="H9" s="15" t="s">
        <v>18</v>
      </c>
    </row>
    <row r="10" spans="1:8" ht="15" customHeight="1" x14ac:dyDescent="0.3">
      <c r="A10" s="47"/>
      <c r="B10" s="16" t="s">
        <v>65</v>
      </c>
      <c r="C10" s="16" t="s">
        <v>20</v>
      </c>
      <c r="D10" s="12" t="s">
        <v>19</v>
      </c>
      <c r="E10" s="12">
        <v>1</v>
      </c>
      <c r="F10" s="16">
        <v>6</v>
      </c>
      <c r="G10" s="15">
        <f>E10*F10</f>
        <v>6</v>
      </c>
      <c r="H10" s="15" t="s">
        <v>18</v>
      </c>
    </row>
    <row r="11" spans="1:8" ht="15" customHeight="1" x14ac:dyDescent="0.3">
      <c r="A11" s="47"/>
      <c r="B11" s="16"/>
      <c r="C11" s="16"/>
      <c r="D11" s="17"/>
      <c r="E11" s="12"/>
      <c r="F11" s="16"/>
      <c r="G11" s="15"/>
      <c r="H11" s="15" t="s">
        <v>18</v>
      </c>
    </row>
    <row r="12" spans="1:8" ht="15" customHeight="1" x14ac:dyDescent="0.3">
      <c r="A12" s="11"/>
      <c r="C12" s="16"/>
      <c r="D12" s="12"/>
      <c r="E12" s="13"/>
      <c r="G12" s="15"/>
      <c r="H12" s="15" t="s">
        <v>18</v>
      </c>
    </row>
    <row r="13" spans="1:8" ht="15" customHeight="1" x14ac:dyDescent="0.3">
      <c r="A13" s="11"/>
      <c r="B13" s="16"/>
      <c r="D13" s="12"/>
      <c r="E13" s="13"/>
      <c r="G13" s="15"/>
      <c r="H13" s="15" t="s">
        <v>18</v>
      </c>
    </row>
    <row r="14" spans="1:8" ht="15" customHeight="1" x14ac:dyDescent="0.3">
      <c r="A14" s="18"/>
      <c r="B14" s="5"/>
      <c r="C14" s="4"/>
      <c r="D14" s="19"/>
      <c r="E14" s="2"/>
      <c r="F14" s="4"/>
      <c r="G14" s="20"/>
      <c r="H14" s="20"/>
    </row>
    <row r="15" spans="1:8" ht="15" customHeight="1" x14ac:dyDescent="0.3">
      <c r="A15" s="60" t="s">
        <v>21</v>
      </c>
      <c r="B15" s="61"/>
      <c r="C15" s="61"/>
      <c r="D15" s="61"/>
      <c r="E15" s="61"/>
      <c r="F15" s="61"/>
      <c r="G15" s="61"/>
      <c r="H15" s="62"/>
    </row>
    <row r="16" spans="1:8" ht="15" customHeight="1" x14ac:dyDescent="0.3">
      <c r="A16" s="21" t="s">
        <v>22</v>
      </c>
      <c r="B16" s="7" t="s">
        <v>9</v>
      </c>
      <c r="C16" s="7" t="s">
        <v>10</v>
      </c>
      <c r="D16" s="8" t="s">
        <v>11</v>
      </c>
      <c r="E16" s="8" t="s">
        <v>12</v>
      </c>
      <c r="F16" s="9" t="s">
        <v>13</v>
      </c>
      <c r="G16" s="10" t="s">
        <v>14</v>
      </c>
      <c r="H16" s="10" t="s">
        <v>15</v>
      </c>
    </row>
    <row r="17" spans="1:8" ht="15" customHeight="1" x14ac:dyDescent="0.3">
      <c r="A17" s="11"/>
      <c r="D17" s="12"/>
      <c r="E17" s="13"/>
      <c r="G17" s="15">
        <v>0</v>
      </c>
      <c r="H17" s="15" t="s">
        <v>18</v>
      </c>
    </row>
    <row r="18" spans="1:8" ht="15" customHeight="1" x14ac:dyDescent="0.3">
      <c r="A18" s="11"/>
      <c r="D18" s="12"/>
      <c r="E18" s="13"/>
      <c r="G18" s="15">
        <v>0</v>
      </c>
      <c r="H18" s="15" t="s">
        <v>18</v>
      </c>
    </row>
    <row r="19" spans="1:8" ht="15" customHeight="1" x14ac:dyDescent="0.3">
      <c r="A19" s="11"/>
      <c r="D19" s="13"/>
      <c r="E19" s="13"/>
      <c r="G19" s="15">
        <v>0</v>
      </c>
      <c r="H19" s="15" t="s">
        <v>18</v>
      </c>
    </row>
    <row r="20" spans="1:8" ht="15" customHeight="1" x14ac:dyDescent="0.3">
      <c r="A20" s="11"/>
      <c r="D20" s="13"/>
      <c r="E20" s="13"/>
      <c r="G20" s="15">
        <v>0</v>
      </c>
      <c r="H20" s="15" t="s">
        <v>18</v>
      </c>
    </row>
    <row r="21" spans="1:8" ht="15" customHeight="1" x14ac:dyDescent="0.3">
      <c r="A21" s="11"/>
      <c r="D21" s="13"/>
      <c r="E21" s="13"/>
      <c r="G21" s="15">
        <v>0</v>
      </c>
      <c r="H21" s="15" t="s">
        <v>18</v>
      </c>
    </row>
    <row r="22" spans="1:8" ht="15" customHeight="1" x14ac:dyDescent="0.3">
      <c r="A22" s="11"/>
      <c r="B22" s="51" t="s">
        <v>23</v>
      </c>
      <c r="C22" s="50"/>
      <c r="D22" s="50"/>
      <c r="E22" s="50"/>
      <c r="F22" s="50"/>
      <c r="G22" s="15">
        <f>SUM(G17:G21)</f>
        <v>0</v>
      </c>
      <c r="H22" s="15" t="s">
        <v>18</v>
      </c>
    </row>
    <row r="23" spans="1:8" ht="15" customHeight="1" x14ac:dyDescent="0.3">
      <c r="A23" s="11"/>
      <c r="B23" s="51" t="s">
        <v>24</v>
      </c>
      <c r="C23" s="50"/>
      <c r="D23" s="50"/>
      <c r="E23" s="50"/>
      <c r="F23" s="50"/>
      <c r="G23" s="48">
        <v>0.25</v>
      </c>
      <c r="H23" s="23"/>
    </row>
    <row r="24" spans="1:8" ht="15" customHeight="1" x14ac:dyDescent="0.3">
      <c r="A24" s="24"/>
      <c r="B24" s="65" t="s">
        <v>25</v>
      </c>
      <c r="C24" s="50"/>
      <c r="D24" s="50"/>
      <c r="E24" s="50"/>
      <c r="F24" s="50"/>
      <c r="G24" s="15">
        <f>G22*(1+G23)</f>
        <v>0</v>
      </c>
      <c r="H24" s="15" t="s">
        <v>18</v>
      </c>
    </row>
    <row r="25" spans="1:8" ht="15" customHeight="1" x14ac:dyDescent="0.3">
      <c r="A25" s="25"/>
      <c r="B25" s="26"/>
      <c r="C25" s="26"/>
      <c r="D25" s="12"/>
      <c r="E25" s="12"/>
      <c r="F25" s="27"/>
      <c r="G25" s="37"/>
      <c r="H25" s="14"/>
    </row>
    <row r="26" spans="1:8" ht="15" customHeight="1" x14ac:dyDescent="0.3">
      <c r="A26" s="25" t="s">
        <v>26</v>
      </c>
      <c r="B26" s="26" t="s">
        <v>27</v>
      </c>
      <c r="C26" s="26" t="s">
        <v>28</v>
      </c>
      <c r="D26" s="12" t="s">
        <v>29</v>
      </c>
      <c r="E26" s="12">
        <v>1</v>
      </c>
      <c r="F26" s="27">
        <v>1000</v>
      </c>
      <c r="G26" s="37">
        <f>E26*F26</f>
        <v>1000</v>
      </c>
      <c r="H26" s="15" t="s">
        <v>18</v>
      </c>
    </row>
    <row r="27" spans="1:8" ht="15" customHeight="1" x14ac:dyDescent="0.3">
      <c r="A27" s="29"/>
      <c r="B27" s="55" t="s">
        <v>30</v>
      </c>
      <c r="C27" s="56"/>
      <c r="D27" s="56"/>
      <c r="E27" s="56"/>
      <c r="F27" s="56"/>
      <c r="G27" s="37">
        <f>G26-G24</f>
        <v>1000</v>
      </c>
      <c r="H27" s="15" t="s">
        <v>18</v>
      </c>
    </row>
    <row r="28" spans="1:8" ht="15" customHeight="1" x14ac:dyDescent="0.3">
      <c r="A28" s="21" t="s">
        <v>33</v>
      </c>
      <c r="B28" s="7" t="s">
        <v>9</v>
      </c>
      <c r="C28" s="7" t="s">
        <v>10</v>
      </c>
      <c r="D28" s="8" t="s">
        <v>11</v>
      </c>
      <c r="E28" s="8" t="s">
        <v>12</v>
      </c>
      <c r="F28" s="9" t="s">
        <v>13</v>
      </c>
      <c r="G28" s="30" t="s">
        <v>14</v>
      </c>
      <c r="H28" s="30" t="s">
        <v>15</v>
      </c>
    </row>
    <row r="29" spans="1:8" ht="15" customHeight="1" x14ac:dyDescent="0.3">
      <c r="A29" s="47"/>
      <c r="B29" s="16" t="s">
        <v>16</v>
      </c>
      <c r="C29" s="16" t="s">
        <v>16</v>
      </c>
      <c r="D29" s="12" t="s">
        <v>17</v>
      </c>
      <c r="E29" s="12">
        <v>1</v>
      </c>
      <c r="F29" s="16">
        <v>500</v>
      </c>
      <c r="G29" s="15">
        <f>E29*F29</f>
        <v>500</v>
      </c>
      <c r="H29" s="15" t="s">
        <v>18</v>
      </c>
    </row>
    <row r="30" spans="1:8" ht="15" customHeight="1" x14ac:dyDescent="0.3">
      <c r="A30" s="47"/>
      <c r="B30" s="16" t="s">
        <v>63</v>
      </c>
      <c r="C30" s="16" t="s">
        <v>61</v>
      </c>
      <c r="D30" s="12" t="s">
        <v>19</v>
      </c>
      <c r="E30" s="12">
        <v>1</v>
      </c>
      <c r="F30" s="16">
        <v>25</v>
      </c>
      <c r="G30" s="15">
        <f>E30*F30</f>
        <v>25</v>
      </c>
      <c r="H30" s="15" t="s">
        <v>18</v>
      </c>
    </row>
    <row r="31" spans="1:8" ht="15" customHeight="1" x14ac:dyDescent="0.3">
      <c r="A31" s="47"/>
      <c r="B31" s="16" t="s">
        <v>65</v>
      </c>
      <c r="C31" s="16" t="s">
        <v>20</v>
      </c>
      <c r="D31" s="12" t="s">
        <v>19</v>
      </c>
      <c r="E31" s="12">
        <v>1</v>
      </c>
      <c r="F31" s="16">
        <v>6</v>
      </c>
      <c r="G31" s="15">
        <f>E31*F31</f>
        <v>6</v>
      </c>
      <c r="H31" s="15" t="s">
        <v>18</v>
      </c>
    </row>
    <row r="32" spans="1:8" ht="15" customHeight="1" x14ac:dyDescent="0.3">
      <c r="A32" s="47"/>
      <c r="B32" s="16"/>
      <c r="C32" s="16"/>
      <c r="D32" s="12"/>
      <c r="E32" s="12"/>
      <c r="F32" s="16"/>
      <c r="G32" s="15">
        <f>E32*F32</f>
        <v>0</v>
      </c>
      <c r="H32" s="15" t="s">
        <v>18</v>
      </c>
    </row>
    <row r="33" spans="1:8" ht="15" customHeight="1" x14ac:dyDescent="0.3">
      <c r="A33" s="11"/>
      <c r="B33" s="51" t="s">
        <v>23</v>
      </c>
      <c r="C33" s="50"/>
      <c r="D33" s="50"/>
      <c r="E33" s="50"/>
      <c r="F33" s="50"/>
      <c r="G33" s="15">
        <f>SUM(G29:G32)</f>
        <v>531</v>
      </c>
      <c r="H33" s="15" t="s">
        <v>18</v>
      </c>
    </row>
    <row r="34" spans="1:8" ht="15" customHeight="1" x14ac:dyDescent="0.3">
      <c r="A34" s="11"/>
      <c r="B34" s="51" t="s">
        <v>24</v>
      </c>
      <c r="C34" s="50"/>
      <c r="D34" s="50"/>
      <c r="E34" s="50"/>
      <c r="F34" s="50"/>
      <c r="G34" s="48">
        <v>0.25</v>
      </c>
      <c r="H34" s="23"/>
    </row>
    <row r="35" spans="1:8" ht="15" customHeight="1" x14ac:dyDescent="0.3">
      <c r="A35" s="11"/>
      <c r="B35" s="65" t="s">
        <v>34</v>
      </c>
      <c r="C35" s="50"/>
      <c r="D35" s="50"/>
      <c r="E35" s="50"/>
      <c r="F35" s="50"/>
      <c r="G35" s="15">
        <f>G33*(1+G34)</f>
        <v>663.75</v>
      </c>
      <c r="H35" s="15" t="s">
        <v>18</v>
      </c>
    </row>
    <row r="36" spans="1:8" ht="15" customHeight="1" x14ac:dyDescent="0.3">
      <c r="A36" s="25"/>
      <c r="B36" s="16"/>
      <c r="D36" s="12"/>
      <c r="E36" s="13"/>
      <c r="G36" s="15"/>
      <c r="H36" s="20"/>
    </row>
    <row r="37" spans="1:8" ht="15" customHeight="1" x14ac:dyDescent="0.3">
      <c r="A37" s="25" t="s">
        <v>31</v>
      </c>
      <c r="B37" s="16" t="s">
        <v>35</v>
      </c>
      <c r="C37" s="16" t="s">
        <v>36</v>
      </c>
      <c r="D37" s="12" t="s">
        <v>37</v>
      </c>
      <c r="E37" s="13">
        <v>1</v>
      </c>
      <c r="F37">
        <v>3000</v>
      </c>
      <c r="G37" s="15">
        <f>E37*F37</f>
        <v>3000</v>
      </c>
      <c r="H37" s="15" t="s">
        <v>18</v>
      </c>
    </row>
    <row r="38" spans="1:8" ht="15" customHeight="1" x14ac:dyDescent="0.3">
      <c r="A38" s="11"/>
      <c r="B38" s="52" t="s">
        <v>38</v>
      </c>
      <c r="C38" s="50"/>
      <c r="D38" s="50"/>
      <c r="E38" s="50"/>
      <c r="F38" s="50"/>
      <c r="G38" s="37">
        <f>G37-G35</f>
        <v>2336.25</v>
      </c>
      <c r="H38" s="15" t="s">
        <v>18</v>
      </c>
    </row>
    <row r="39" spans="1:8" ht="15" customHeight="1" x14ac:dyDescent="0.3">
      <c r="A39" s="31"/>
      <c r="B39" s="32"/>
      <c r="C39" s="32"/>
      <c r="D39" s="32"/>
      <c r="E39" s="32"/>
      <c r="F39" s="32"/>
      <c r="G39" s="33"/>
      <c r="H39" s="34"/>
    </row>
    <row r="40" spans="1:8" ht="15" customHeight="1" x14ac:dyDescent="0.3">
      <c r="A40" s="63"/>
      <c r="B40" s="56"/>
      <c r="C40" s="56"/>
      <c r="D40" s="56"/>
      <c r="E40" s="56"/>
      <c r="F40" s="56"/>
      <c r="G40" s="56"/>
      <c r="H40" s="64"/>
    </row>
    <row r="41" spans="1:8" ht="15" customHeight="1" x14ac:dyDescent="0.3">
      <c r="A41" s="60" t="s">
        <v>39</v>
      </c>
      <c r="B41" s="61"/>
      <c r="C41" s="61"/>
      <c r="D41" s="61"/>
      <c r="E41" s="61"/>
      <c r="F41" s="61"/>
      <c r="G41" s="61"/>
      <c r="H41" s="62"/>
    </row>
    <row r="42" spans="1:8" ht="15" customHeight="1" x14ac:dyDescent="0.3">
      <c r="A42" s="21" t="s">
        <v>40</v>
      </c>
      <c r="B42" s="7" t="s">
        <v>9</v>
      </c>
      <c r="C42" s="7" t="s">
        <v>10</v>
      </c>
      <c r="D42" s="8" t="s">
        <v>11</v>
      </c>
      <c r="E42" s="35" t="s">
        <v>41</v>
      </c>
      <c r="F42" s="9" t="s">
        <v>13</v>
      </c>
      <c r="G42" s="30" t="s">
        <v>14</v>
      </c>
      <c r="H42" s="30" t="s">
        <v>15</v>
      </c>
    </row>
    <row r="43" spans="1:8" ht="15" customHeight="1" x14ac:dyDescent="0.3">
      <c r="A43" s="36" t="s">
        <v>42</v>
      </c>
      <c r="B43" s="26" t="s">
        <v>43</v>
      </c>
      <c r="C43" s="12" t="s">
        <v>64</v>
      </c>
      <c r="D43" s="12" t="s">
        <v>44</v>
      </c>
      <c r="E43" s="12" t="s">
        <v>45</v>
      </c>
      <c r="F43" s="27">
        <v>1000</v>
      </c>
      <c r="G43" s="37">
        <v>1000</v>
      </c>
      <c r="H43" s="38" t="s">
        <v>18</v>
      </c>
    </row>
    <row r="44" spans="1:8" ht="15" customHeight="1" x14ac:dyDescent="0.3">
      <c r="A44" s="39"/>
      <c r="B44" s="26"/>
      <c r="C44" s="26"/>
      <c r="D44" s="12"/>
      <c r="E44" s="12"/>
      <c r="F44" s="27"/>
      <c r="G44" s="28"/>
      <c r="H44" s="40"/>
    </row>
    <row r="45" spans="1:8" ht="15" customHeight="1" x14ac:dyDescent="0.3">
      <c r="A45" s="53" t="s">
        <v>46</v>
      </c>
      <c r="B45" s="26" t="s">
        <v>66</v>
      </c>
      <c r="C45" s="26" t="s">
        <v>67</v>
      </c>
      <c r="D45" s="12" t="s">
        <v>47</v>
      </c>
      <c r="E45" s="12">
        <v>1</v>
      </c>
      <c r="F45" s="27">
        <f>ROUND((G35*3.3)/(12*0.8),0)</f>
        <v>228</v>
      </c>
      <c r="G45" s="37">
        <f>E45*F45</f>
        <v>228</v>
      </c>
      <c r="H45" s="15" t="s">
        <v>18</v>
      </c>
    </row>
    <row r="46" spans="1:8" ht="15" customHeight="1" x14ac:dyDescent="0.3">
      <c r="A46" s="54"/>
      <c r="B46" s="26"/>
      <c r="C46" s="26"/>
      <c r="D46" s="12"/>
      <c r="E46" s="12"/>
      <c r="F46" s="27"/>
      <c r="G46" s="28">
        <v>0</v>
      </c>
      <c r="H46" s="15" t="s">
        <v>18</v>
      </c>
    </row>
    <row r="47" spans="1:8" ht="15" customHeight="1" x14ac:dyDescent="0.3">
      <c r="A47" s="54"/>
      <c r="B47" s="16"/>
      <c r="D47" s="12"/>
      <c r="E47" s="13"/>
      <c r="G47" s="14">
        <v>0</v>
      </c>
      <c r="H47" s="15" t="s">
        <v>18</v>
      </c>
    </row>
    <row r="48" spans="1:8" ht="15" customHeight="1" x14ac:dyDescent="0.3">
      <c r="A48" s="39"/>
      <c r="B48" s="52" t="s">
        <v>48</v>
      </c>
      <c r="C48" s="50"/>
      <c r="D48" s="50"/>
      <c r="E48" s="50"/>
      <c r="F48" s="50"/>
      <c r="G48" s="37">
        <f>G43-SUM(G45:G47)</f>
        <v>772</v>
      </c>
      <c r="H48" s="38" t="s">
        <v>18</v>
      </c>
    </row>
    <row r="49" spans="1:8" ht="15" customHeight="1" x14ac:dyDescent="0.3">
      <c r="A49" s="39"/>
      <c r="B49" s="2"/>
      <c r="C49" s="2"/>
      <c r="D49" s="19"/>
      <c r="E49" s="19"/>
      <c r="F49" s="19"/>
      <c r="G49" s="41"/>
      <c r="H49" s="42"/>
    </row>
    <row r="50" spans="1:8" ht="15" customHeight="1" x14ac:dyDescent="0.3">
      <c r="A50" s="21" t="s">
        <v>49</v>
      </c>
      <c r="B50" s="7" t="s">
        <v>9</v>
      </c>
      <c r="C50" s="7" t="s">
        <v>10</v>
      </c>
      <c r="D50" s="8" t="s">
        <v>11</v>
      </c>
      <c r="E50" s="35" t="s">
        <v>41</v>
      </c>
      <c r="F50" s="9" t="s">
        <v>13</v>
      </c>
      <c r="G50" s="30" t="s">
        <v>14</v>
      </c>
      <c r="H50" s="30" t="s">
        <v>15</v>
      </c>
    </row>
    <row r="51" spans="1:8" ht="15" customHeight="1" x14ac:dyDescent="0.3">
      <c r="A51" s="36" t="s">
        <v>50</v>
      </c>
      <c r="B51" s="26" t="s">
        <v>51</v>
      </c>
      <c r="C51" s="12" t="s">
        <v>32</v>
      </c>
      <c r="D51" s="12" t="s">
        <v>32</v>
      </c>
      <c r="E51" s="12" t="s">
        <v>32</v>
      </c>
      <c r="F51" s="27">
        <v>0</v>
      </c>
      <c r="G51" s="37">
        <v>0</v>
      </c>
      <c r="H51" s="38" t="s">
        <v>18</v>
      </c>
    </row>
    <row r="52" spans="1:8" ht="15" customHeight="1" x14ac:dyDescent="0.3">
      <c r="A52" s="39"/>
      <c r="B52" s="26"/>
      <c r="C52" s="26"/>
      <c r="D52" s="12"/>
      <c r="E52" s="12"/>
      <c r="F52" s="27"/>
      <c r="G52" s="28"/>
      <c r="H52" s="40"/>
    </row>
    <row r="53" spans="1:8" ht="15" customHeight="1" x14ac:dyDescent="0.3">
      <c r="A53" s="53" t="s">
        <v>52</v>
      </c>
      <c r="B53" s="26"/>
      <c r="C53" s="26"/>
      <c r="D53" s="12"/>
      <c r="E53" s="12"/>
      <c r="F53" s="27"/>
      <c r="G53" s="28">
        <v>0</v>
      </c>
      <c r="H53" s="15" t="s">
        <v>18</v>
      </c>
    </row>
    <row r="54" spans="1:8" ht="15" customHeight="1" x14ac:dyDescent="0.3">
      <c r="A54" s="54"/>
      <c r="B54" s="26"/>
      <c r="C54" s="26"/>
      <c r="D54" s="12"/>
      <c r="E54" s="12"/>
      <c r="F54" s="27"/>
      <c r="G54" s="28">
        <v>0</v>
      </c>
      <c r="H54" s="15"/>
    </row>
    <row r="55" spans="1:8" ht="15" customHeight="1" x14ac:dyDescent="0.3">
      <c r="A55" s="54"/>
      <c r="B55" s="16"/>
      <c r="D55" s="12"/>
      <c r="E55" s="13"/>
      <c r="G55" s="14">
        <v>0</v>
      </c>
      <c r="H55" s="15"/>
    </row>
    <row r="56" spans="1:8" ht="15" customHeight="1" x14ac:dyDescent="0.3">
      <c r="A56" s="39"/>
      <c r="B56" s="52" t="s">
        <v>53</v>
      </c>
      <c r="C56" s="50"/>
      <c r="D56" s="50"/>
      <c r="E56" s="50"/>
      <c r="F56" s="50"/>
      <c r="G56" s="37">
        <f>G51-SUM(G53:G55)</f>
        <v>0</v>
      </c>
      <c r="H56" s="38" t="s">
        <v>18</v>
      </c>
    </row>
    <row r="57" spans="1:8" ht="15" customHeight="1" x14ac:dyDescent="0.3">
      <c r="A57" s="24"/>
      <c r="B57" s="16"/>
      <c r="D57" s="43"/>
      <c r="E57" s="12"/>
      <c r="F57" s="16"/>
      <c r="G57" s="14"/>
      <c r="H57" s="44"/>
    </row>
    <row r="58" spans="1:8" ht="15" customHeight="1" x14ac:dyDescent="0.3">
      <c r="A58" s="11"/>
      <c r="D58" s="13"/>
      <c r="E58" s="13"/>
      <c r="F58" s="22" t="s">
        <v>54</v>
      </c>
      <c r="G58" s="14"/>
      <c r="H58" s="15" t="s">
        <v>55</v>
      </c>
    </row>
    <row r="59" spans="1:8" ht="15" customHeight="1" x14ac:dyDescent="0.3">
      <c r="A59" s="57" t="s">
        <v>56</v>
      </c>
      <c r="B59" s="50"/>
      <c r="C59" s="50"/>
      <c r="D59" s="50"/>
      <c r="E59" s="50"/>
      <c r="F59" s="50"/>
      <c r="G59" s="45"/>
      <c r="H59" s="45"/>
    </row>
    <row r="60" spans="1:8" ht="15" customHeight="1" x14ac:dyDescent="0.3">
      <c r="A60" s="59" t="s">
        <v>57</v>
      </c>
      <c r="B60" s="50"/>
      <c r="C60" s="50"/>
      <c r="D60" s="50"/>
      <c r="E60" s="50"/>
      <c r="F60" s="50"/>
      <c r="G60" s="50"/>
      <c r="H60" s="50"/>
    </row>
    <row r="61" spans="1:8" ht="15" customHeight="1" x14ac:dyDescent="0.3">
      <c r="A61" s="49" t="s">
        <v>58</v>
      </c>
      <c r="B61" s="50"/>
      <c r="C61" s="50"/>
      <c r="D61" s="50"/>
      <c r="E61" s="50"/>
      <c r="F61" s="50"/>
      <c r="G61" s="50"/>
      <c r="H61" s="50"/>
    </row>
    <row r="62" spans="1:8" ht="15.6" x14ac:dyDescent="0.3">
      <c r="A62" s="16" t="s">
        <v>59</v>
      </c>
    </row>
    <row r="63" spans="1:8" ht="15.6" x14ac:dyDescent="0.3">
      <c r="A63" s="16" t="s">
        <v>60</v>
      </c>
      <c r="D63" s="16"/>
    </row>
  </sheetData>
  <mergeCells count="20">
    <mergeCell ref="A1:H1"/>
    <mergeCell ref="B34:F34"/>
    <mergeCell ref="A60:H60"/>
    <mergeCell ref="A6:H6"/>
    <mergeCell ref="A40:H40"/>
    <mergeCell ref="A15:H15"/>
    <mergeCell ref="B22:F22"/>
    <mergeCell ref="A41:H41"/>
    <mergeCell ref="B23:F23"/>
    <mergeCell ref="B38:F38"/>
    <mergeCell ref="B56:F56"/>
    <mergeCell ref="B24:F24"/>
    <mergeCell ref="B35:F35"/>
    <mergeCell ref="A61:H61"/>
    <mergeCell ref="B33:F33"/>
    <mergeCell ref="B48:F48"/>
    <mergeCell ref="A45:A47"/>
    <mergeCell ref="B27:F27"/>
    <mergeCell ref="A53:A55"/>
    <mergeCell ref="A59:F59"/>
  </mergeCells>
  <conditionalFormatting sqref="G27 G38">
    <cfRule type="cellIs" dxfId="0" priority="1" operator="lessThan">
      <formula>0</formula>
    </cfRule>
  </conditionalFormatting>
  <pageMargins left="0.75" right="0.75" top="1" bottom="1" header="0.5" footer="0.5"/>
  <pageSetup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GOD 707</cp:lastModifiedBy>
  <cp:lastPrinted>2026-03-07T04:08:33Z</cp:lastPrinted>
  <dcterms:created xsi:type="dcterms:W3CDTF">2026-03-07T03:45:41Z</dcterms:created>
  <dcterms:modified xsi:type="dcterms:W3CDTF">2026-05-05T00:11:53Z</dcterms:modified>
</cp:coreProperties>
</file>